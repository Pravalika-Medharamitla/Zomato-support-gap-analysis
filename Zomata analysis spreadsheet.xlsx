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nalysis" sheetId="2" r:id="rId6"/>
    <sheet state="visible" name="Rice Table" sheetId="3" r:id="rId7"/>
  </sheets>
  <definedNames/>
  <calcPr/>
</workbook>
</file>

<file path=xl/sharedStrings.xml><?xml version="1.0" encoding="utf-8"?>
<sst xmlns="http://schemas.openxmlformats.org/spreadsheetml/2006/main" count="172" uniqueCount="71">
  <si>
    <t>Review Text</t>
  </si>
  <si>
    <t>Star Rating</t>
  </si>
  <si>
    <t>Date</t>
  </si>
  <si>
    <t>Category</t>
  </si>
  <si>
    <t>Severity</t>
  </si>
  <si>
    <t>Ordered food 1 hour ago, app still shows "preparing". No update, no call from delivery partner.</t>
  </si>
  <si>
    <t>Order &amp; Delivery</t>
  </si>
  <si>
    <t>Medium</t>
  </si>
  <si>
    <t>My money was deducted twice for the same order. Support just sends automated replies.</t>
  </si>
  <si>
    <t>Payment &amp; Refund</t>
  </si>
  <si>
    <t>High</t>
  </si>
  <si>
    <t>App crashed three times while I was trying to place the order. Very frustrating.</t>
  </si>
  <si>
    <t>App Performance</t>
  </si>
  <si>
    <t>Delivery partner called and said he can't find my location then cancelled. No refund yet.</t>
  </si>
  <si>
    <t>Paid via UPI, order got cancelled but money not returned after 8 days.</t>
  </si>
  <si>
    <t>Wrong items delivered. Ordered paneer but got chicken. No resolution from support.</t>
  </si>
  <si>
    <t>Wrong / Missing Items</t>
  </si>
  <si>
    <t>The estimated time was 30 minutes, food arrived after 1.5 hours and was cold.</t>
  </si>
  <si>
    <t>Support chat just loops me back to the same bot. No human agent available.</t>
  </si>
  <si>
    <t>Poor Support</t>
  </si>
  <si>
    <t>App shows order delivered but I never received anything. Called support, they said wait 24 hours.</t>
  </si>
  <si>
    <t>Refund was promised in 5–7 days. It has been 15 days and nothing.</t>
  </si>
  <si>
    <t>Restaurant cancelled my order 40 minutes after I placed it. Wasted my entire lunch break.</t>
  </si>
  <si>
    <t>App freezes every time I open the offers section. Had to restart phone 4 times.</t>
  </si>
  <si>
    <t>Delivery partner location on map was not moving for 25 minutes. Then order marked delivered.</t>
  </si>
  <si>
    <t>I ordered for 3 people, one item was missing from the bag. Support offered only 10% coupon.</t>
  </si>
  <si>
    <t>Payment failed but money got deducted from my account. No one is helping.</t>
  </si>
  <si>
    <t>The food quality was bad and when I complained, support closed the ticket without resolution.</t>
  </si>
  <si>
    <t>Estimated delivery 25 min. Actual delivery 70 min. Food was soggy and cold.</t>
  </si>
  <si>
    <t>App does not load on my phone after the last update. Uninstalled and reinstalled twice.</t>
  </si>
  <si>
    <t>Delivery partner picked up the order and then stopped responding. Order never arrived.</t>
  </si>
  <si>
    <t>Asked for a refund 10 days ago. Still showing "under review" with no update.</t>
  </si>
  <si>
    <t>Got a notification that order was delivered. I was sitting at home, no one knocked.</t>
  </si>
  <si>
    <t>Ordered a meal for my sick mother. Delivery was 2 hours late and food was wrong.</t>
  </si>
  <si>
    <t>Support agent promised a callback in 30 minutes. Never called back.</t>
  </si>
  <si>
    <t>App crashes at the payment screen every single time. Cannot complete any order.</t>
  </si>
  <si>
    <t>Restaurant marked order ready but no delivery partner was assigned for 45 minutes.</t>
  </si>
  <si>
    <t>I have been charged for an order I cancelled within 2 minutes of placing it.</t>
  </si>
  <si>
    <t>The item photos on the app look nothing like what was delivered. Very misleading.</t>
  </si>
  <si>
    <t>Low</t>
  </si>
  <si>
    <t>Live chat support kept me waiting for 20 minutes then disconnected automatically.</t>
  </si>
  <si>
    <t>Ordered ice cream, it was completely melted on arrival. No proper insulation used.</t>
  </si>
  <si>
    <t>My account was charged but the order never appeared in my order history.</t>
  </si>
  <si>
    <t>Delivery partner asked me to cancel the order myself so he could take another order.</t>
  </si>
  <si>
    <t>App notification said "arriving in 2 minutes" but took another 40 minutes after that.</t>
  </si>
  <si>
    <t>Missing 2 items from a 6 item order. Support gave a coupon worth less than the missing items.</t>
  </si>
  <si>
    <t>UPI payment page keeps timing out. Had to try 6 times before it went through.</t>
  </si>
  <si>
    <t>Called the delivery partner — phone switched off. Order showed delivered 10 minutes later.</t>
  </si>
  <si>
    <t>Zomato Gold membership charged but benefits not working at the restaurant.</t>
  </si>
  <si>
    <t>Support ticket was closed automatically after 48 hours with no resolution provided.</t>
  </si>
  <si>
    <t>Food was delivered to the wrong address even though my pin was correct on the map.</t>
  </si>
  <si>
    <t>App shows restaurant is open but when I try to order it says restaurant unavailable.</t>
  </si>
  <si>
    <t>Refund processed to wrong account. Support says they cannot reverse it.</t>
  </si>
  <si>
    <t>Delivery partner demanded extra cash on delivery for a prepaid order. Very unprofessional.</t>
  </si>
  <si>
    <t>Order was delayed by 1 hour. No proactive communication from Zomato at all.</t>
  </si>
  <si>
    <t>Three items listed as available were out of stock. Found out only after ordering.</t>
  </si>
  <si>
    <t>App logged me out during payment and lost my entire cart. Had to start over.</t>
  </si>
  <si>
    <t>Complained about cold food with photo proof. Support still refused to process refund.</t>
  </si>
  <si>
    <t>Delivery person left food outside the gate without informing me. Food was stolen.</t>
  </si>
  <si>
    <t>Got food from a restaurant I did not order from. Completely wrong order delivered.</t>
  </si>
  <si>
    <t>Support says refund will reflect in 3–5 days. This is the third time they have said that.</t>
  </si>
  <si>
    <t>New version of the app is extremely slow. Takes 10 seconds just to open restaurant menu.</t>
  </si>
  <si>
    <t>Order cancelled by restaurant after 50 minutes. No alternative offered by Zomato.</t>
  </si>
  <si>
    <t>Count</t>
  </si>
  <si>
    <t>Percentage</t>
  </si>
  <si>
    <t>Problem</t>
  </si>
  <si>
    <t>Reach</t>
  </si>
  <si>
    <t>Impact</t>
  </si>
  <si>
    <t>Confidence</t>
  </si>
  <si>
    <t>Effort</t>
  </si>
  <si>
    <t>RICE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</si>
</sst>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ce Tab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r>
              <a:rPr b="0">
                <a:solidFill>
                  <a:srgbClr val="FF0000"/>
                </a:solidFill>
                <a:latin typeface="+mn-lt"/>
              </a:rPr>
              <a:t> Zomato Review Issues by Category (n=50)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Analysis!$A$2:$A$6</c:f>
            </c:strRef>
          </c:cat>
          <c:val>
            <c:numRef>
              <c:f>Analysis!$B$2:$B$6</c:f>
              <c:numCache/>
            </c:numRef>
          </c:val>
        </c:ser>
        <c:axId val="973036690"/>
        <c:axId val="827834167"/>
      </c:barChart>
      <c:catAx>
        <c:axId val="9730366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834167"/>
      </c:catAx>
      <c:valAx>
        <c:axId val="8278341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0366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180975</xdr:rowOff>
    </xdr:from>
    <xdr:ext cx="5715000" cy="3714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1" displayName="Table1" name="Table1" id="1">
  <tableColumns count="5">
    <tableColumn name="Review Text" id="1"/>
    <tableColumn name="Star Rating" id="2"/>
    <tableColumn name="Date" id="3"/>
    <tableColumn name="Category" id="4"/>
    <tableColumn name="Severity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C6" displayName="Table3" name="Table3" id="2">
  <tableColumns count="3">
    <tableColumn name="Category" id="1"/>
    <tableColumn name="Count" id="2"/>
    <tableColumn name="Percentage" id="3"/>
  </tableColumns>
  <tableStyleInfo name="Analysis-style" showColumnStripes="0" showFirstColumn="1" showLastColumn="1" showRowStripes="1"/>
</table>
</file>

<file path=xl/tables/table3.xml><?xml version="1.0" encoding="utf-8"?>
<table xmlns="http://schemas.openxmlformats.org/spreadsheetml/2006/main" ref="A1:F4" displayName="Table2" name="Table2" id="3">
  <tableColumns count="6">
    <tableColumn name="Problem" id="1"/>
    <tableColumn name="Reach" id="2"/>
    <tableColumn name="Impact" id="3"/>
    <tableColumn name="Confidence" id="4"/>
    <tableColumn name="Effort" id="5"/>
    <tableColumn name="RICE Score" id="6"/>
  </tableColumns>
  <tableStyleInfo name="Rice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3.63"/>
    <col customWidth="1" min="4" max="4" width="2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>
        <v>1.0</v>
      </c>
      <c r="C2" s="3">
        <v>45597.0</v>
      </c>
      <c r="D2" s="2" t="s">
        <v>6</v>
      </c>
      <c r="E2" s="2" t="s">
        <v>7</v>
      </c>
    </row>
    <row r="3" ht="22.5" customHeight="1">
      <c r="A3" s="2" t="s">
        <v>8</v>
      </c>
      <c r="B3" s="2">
        <v>1.0</v>
      </c>
      <c r="C3" s="3">
        <v>45598.0</v>
      </c>
      <c r="D3" s="2" t="s">
        <v>9</v>
      </c>
      <c r="E3" s="2" t="s">
        <v>10</v>
      </c>
    </row>
    <row r="4" ht="22.5" customHeight="1">
      <c r="A4" s="2" t="s">
        <v>11</v>
      </c>
      <c r="B4" s="2">
        <v>1.0</v>
      </c>
      <c r="C4" s="3">
        <v>45599.0</v>
      </c>
      <c r="D4" s="2" t="s">
        <v>12</v>
      </c>
      <c r="E4" s="2" t="s">
        <v>7</v>
      </c>
    </row>
    <row r="5" ht="22.5" customHeight="1">
      <c r="A5" s="2" t="s">
        <v>13</v>
      </c>
      <c r="B5" s="2">
        <v>1.0</v>
      </c>
      <c r="C5" s="3">
        <v>45600.0</v>
      </c>
      <c r="D5" s="2" t="s">
        <v>6</v>
      </c>
      <c r="E5" s="2" t="s">
        <v>10</v>
      </c>
    </row>
    <row r="6" ht="22.5" customHeight="1">
      <c r="A6" s="2" t="s">
        <v>14</v>
      </c>
      <c r="B6" s="2">
        <v>1.0</v>
      </c>
      <c r="C6" s="3">
        <v>45601.0</v>
      </c>
      <c r="D6" s="2" t="s">
        <v>9</v>
      </c>
      <c r="E6" s="2" t="s">
        <v>10</v>
      </c>
    </row>
    <row r="7" ht="22.5" customHeight="1">
      <c r="A7" s="2" t="s">
        <v>15</v>
      </c>
      <c r="B7" s="2">
        <v>1.0</v>
      </c>
      <c r="C7" s="3">
        <v>45602.0</v>
      </c>
      <c r="D7" s="2" t="s">
        <v>16</v>
      </c>
      <c r="E7" s="2" t="s">
        <v>7</v>
      </c>
    </row>
    <row r="8" ht="22.5" customHeight="1">
      <c r="A8" s="2" t="s">
        <v>17</v>
      </c>
      <c r="B8" s="2">
        <v>1.0</v>
      </c>
      <c r="C8" s="3">
        <v>45603.0</v>
      </c>
      <c r="D8" s="2" t="s">
        <v>6</v>
      </c>
      <c r="E8" s="2" t="s">
        <v>7</v>
      </c>
    </row>
    <row r="9" ht="22.5" customHeight="1">
      <c r="A9" s="2" t="s">
        <v>18</v>
      </c>
      <c r="B9" s="2">
        <v>1.0</v>
      </c>
      <c r="C9" s="3">
        <v>45604.0</v>
      </c>
      <c r="D9" s="2" t="s">
        <v>19</v>
      </c>
      <c r="E9" s="2" t="s">
        <v>10</v>
      </c>
    </row>
    <row r="10" ht="22.5" customHeight="1">
      <c r="A10" s="2" t="s">
        <v>20</v>
      </c>
      <c r="B10" s="2">
        <v>1.0</v>
      </c>
      <c r="C10" s="3">
        <v>45605.0</v>
      </c>
      <c r="D10" s="2" t="s">
        <v>6</v>
      </c>
      <c r="E10" s="2" t="s">
        <v>10</v>
      </c>
    </row>
    <row r="11" ht="22.5" customHeight="1">
      <c r="A11" s="2" t="s">
        <v>21</v>
      </c>
      <c r="B11" s="2">
        <v>1.0</v>
      </c>
      <c r="C11" s="3">
        <v>45606.0</v>
      </c>
      <c r="D11" s="2" t="s">
        <v>9</v>
      </c>
      <c r="E11" s="2" t="s">
        <v>10</v>
      </c>
    </row>
    <row r="12" ht="22.5" customHeight="1">
      <c r="A12" s="2" t="s">
        <v>22</v>
      </c>
      <c r="B12" s="2">
        <v>1.0</v>
      </c>
      <c r="C12" s="3">
        <v>45607.0</v>
      </c>
      <c r="D12" s="2" t="s">
        <v>6</v>
      </c>
      <c r="E12" s="2" t="s">
        <v>7</v>
      </c>
    </row>
    <row r="13" ht="22.5" customHeight="1">
      <c r="A13" s="2" t="s">
        <v>23</v>
      </c>
      <c r="B13" s="2">
        <v>1.0</v>
      </c>
      <c r="C13" s="3">
        <v>45608.0</v>
      </c>
      <c r="D13" s="2" t="s">
        <v>12</v>
      </c>
      <c r="E13" s="2" t="s">
        <v>7</v>
      </c>
    </row>
    <row r="14" ht="22.5" customHeight="1">
      <c r="A14" s="2" t="s">
        <v>24</v>
      </c>
      <c r="B14" s="2">
        <v>1.0</v>
      </c>
      <c r="C14" s="3">
        <v>45609.0</v>
      </c>
      <c r="D14" s="2" t="s">
        <v>6</v>
      </c>
      <c r="E14" s="2" t="s">
        <v>10</v>
      </c>
    </row>
    <row r="15" ht="22.5" customHeight="1">
      <c r="A15" s="2" t="s">
        <v>25</v>
      </c>
      <c r="B15" s="2">
        <v>1.0</v>
      </c>
      <c r="C15" s="3">
        <v>45610.0</v>
      </c>
      <c r="D15" s="2" t="s">
        <v>16</v>
      </c>
      <c r="E15" s="2" t="s">
        <v>7</v>
      </c>
    </row>
    <row r="16" ht="22.5" customHeight="1">
      <c r="A16" s="2" t="s">
        <v>26</v>
      </c>
      <c r="B16" s="2">
        <v>1.0</v>
      </c>
      <c r="C16" s="3">
        <v>45611.0</v>
      </c>
      <c r="D16" s="2" t="s">
        <v>9</v>
      </c>
      <c r="E16" s="2" t="s">
        <v>10</v>
      </c>
    </row>
    <row r="17" ht="22.5" customHeight="1">
      <c r="A17" s="2" t="s">
        <v>27</v>
      </c>
      <c r="B17" s="2">
        <v>1.0</v>
      </c>
      <c r="C17" s="3">
        <v>45612.0</v>
      </c>
      <c r="D17" s="2" t="s">
        <v>19</v>
      </c>
      <c r="E17" s="2" t="s">
        <v>10</v>
      </c>
    </row>
    <row r="18" ht="22.5" customHeight="1">
      <c r="A18" s="2" t="s">
        <v>28</v>
      </c>
      <c r="B18" s="2">
        <v>1.0</v>
      </c>
      <c r="C18" s="3">
        <v>45613.0</v>
      </c>
      <c r="D18" s="2" t="s">
        <v>6</v>
      </c>
      <c r="E18" s="2" t="s">
        <v>7</v>
      </c>
    </row>
    <row r="19" ht="22.5" customHeight="1">
      <c r="A19" s="2" t="s">
        <v>29</v>
      </c>
      <c r="B19" s="2">
        <v>1.0</v>
      </c>
      <c r="C19" s="3">
        <v>45614.0</v>
      </c>
      <c r="D19" s="2" t="s">
        <v>12</v>
      </c>
      <c r="E19" s="2" t="s">
        <v>10</v>
      </c>
    </row>
    <row r="20" ht="22.5" customHeight="1">
      <c r="A20" s="2" t="s">
        <v>30</v>
      </c>
      <c r="B20" s="2">
        <v>1.0</v>
      </c>
      <c r="C20" s="3">
        <v>45615.0</v>
      </c>
      <c r="D20" s="2" t="s">
        <v>6</v>
      </c>
      <c r="E20" s="2" t="s">
        <v>10</v>
      </c>
    </row>
    <row r="21" ht="22.5" customHeight="1">
      <c r="A21" s="2" t="s">
        <v>31</v>
      </c>
      <c r="B21" s="2">
        <v>1.0</v>
      </c>
      <c r="C21" s="3">
        <v>45616.0</v>
      </c>
      <c r="D21" s="2" t="s">
        <v>9</v>
      </c>
      <c r="E21" s="2" t="s">
        <v>10</v>
      </c>
    </row>
    <row r="22" ht="22.5" customHeight="1">
      <c r="A22" s="2" t="s">
        <v>32</v>
      </c>
      <c r="B22" s="2">
        <v>1.0</v>
      </c>
      <c r="C22" s="3">
        <v>45617.0</v>
      </c>
      <c r="D22" s="2" t="s">
        <v>6</v>
      </c>
      <c r="E22" s="2" t="s">
        <v>10</v>
      </c>
    </row>
    <row r="23" ht="22.5" customHeight="1">
      <c r="A23" s="2" t="s">
        <v>33</v>
      </c>
      <c r="B23" s="2">
        <v>1.0</v>
      </c>
      <c r="C23" s="3">
        <v>45618.0</v>
      </c>
      <c r="D23" s="2" t="s">
        <v>6</v>
      </c>
      <c r="E23" s="2" t="s">
        <v>10</v>
      </c>
    </row>
    <row r="24" ht="22.5" customHeight="1">
      <c r="A24" s="2" t="s">
        <v>34</v>
      </c>
      <c r="B24" s="2">
        <v>1.0</v>
      </c>
      <c r="C24" s="3">
        <v>45619.0</v>
      </c>
      <c r="D24" s="2" t="s">
        <v>19</v>
      </c>
      <c r="E24" s="2" t="s">
        <v>7</v>
      </c>
    </row>
    <row r="25" ht="22.5" customHeight="1">
      <c r="A25" s="2" t="s">
        <v>35</v>
      </c>
      <c r="B25" s="2">
        <v>1.0</v>
      </c>
      <c r="C25" s="3">
        <v>45620.0</v>
      </c>
      <c r="D25" s="2" t="s">
        <v>12</v>
      </c>
      <c r="E25" s="2" t="s">
        <v>10</v>
      </c>
    </row>
    <row r="26" ht="22.5" customHeight="1">
      <c r="A26" s="2" t="s">
        <v>36</v>
      </c>
      <c r="B26" s="2">
        <v>1.0</v>
      </c>
      <c r="C26" s="3">
        <v>45621.0</v>
      </c>
      <c r="D26" s="2" t="s">
        <v>6</v>
      </c>
      <c r="E26" s="2" t="s">
        <v>7</v>
      </c>
    </row>
    <row r="27" ht="22.5" customHeight="1">
      <c r="A27" s="2" t="s">
        <v>37</v>
      </c>
      <c r="B27" s="2">
        <v>1.0</v>
      </c>
      <c r="C27" s="3">
        <v>45622.0</v>
      </c>
      <c r="D27" s="2" t="s">
        <v>9</v>
      </c>
      <c r="E27" s="2" t="s">
        <v>10</v>
      </c>
    </row>
    <row r="28" ht="22.5" customHeight="1">
      <c r="A28" s="2" t="s">
        <v>38</v>
      </c>
      <c r="B28" s="2">
        <v>1.0</v>
      </c>
      <c r="C28" s="3">
        <v>45623.0</v>
      </c>
      <c r="D28" s="2" t="s">
        <v>16</v>
      </c>
      <c r="E28" s="2" t="s">
        <v>39</v>
      </c>
    </row>
    <row r="29" ht="22.5" customHeight="1">
      <c r="A29" s="2" t="s">
        <v>40</v>
      </c>
      <c r="B29" s="2">
        <v>1.0</v>
      </c>
      <c r="C29" s="3">
        <v>45624.0</v>
      </c>
      <c r="D29" s="2" t="s">
        <v>19</v>
      </c>
      <c r="E29" s="2" t="s">
        <v>7</v>
      </c>
    </row>
    <row r="30" ht="22.5" customHeight="1">
      <c r="A30" s="2" t="s">
        <v>41</v>
      </c>
      <c r="B30" s="2">
        <v>1.0</v>
      </c>
      <c r="C30" s="3">
        <v>45625.0</v>
      </c>
      <c r="D30" s="2" t="s">
        <v>6</v>
      </c>
      <c r="E30" s="2" t="s">
        <v>39</v>
      </c>
    </row>
    <row r="31" ht="22.5" customHeight="1">
      <c r="A31" s="2" t="s">
        <v>42</v>
      </c>
      <c r="B31" s="2">
        <v>1.0</v>
      </c>
      <c r="C31" s="3">
        <v>45626.0</v>
      </c>
      <c r="D31" s="2" t="s">
        <v>9</v>
      </c>
      <c r="E31" s="2" t="s">
        <v>10</v>
      </c>
    </row>
    <row r="32" ht="22.5" customHeight="1">
      <c r="A32" s="2" t="s">
        <v>43</v>
      </c>
      <c r="B32" s="2">
        <v>2.0</v>
      </c>
      <c r="C32" s="3">
        <v>45597.0</v>
      </c>
      <c r="D32" s="2" t="s">
        <v>6</v>
      </c>
      <c r="E32" s="2" t="s">
        <v>10</v>
      </c>
    </row>
    <row r="33" ht="22.5" customHeight="1">
      <c r="A33" s="2" t="s">
        <v>44</v>
      </c>
      <c r="B33" s="2">
        <v>2.0</v>
      </c>
      <c r="C33" s="3">
        <v>45597.0</v>
      </c>
      <c r="D33" s="2" t="s">
        <v>6</v>
      </c>
      <c r="E33" s="2" t="s">
        <v>7</v>
      </c>
    </row>
    <row r="34" ht="22.5" customHeight="1">
      <c r="A34" s="2" t="s">
        <v>45</v>
      </c>
      <c r="B34" s="2">
        <v>2.0</v>
      </c>
      <c r="C34" s="3">
        <v>45597.0</v>
      </c>
      <c r="D34" s="2" t="s">
        <v>16</v>
      </c>
      <c r="E34" s="2" t="s">
        <v>7</v>
      </c>
    </row>
    <row r="35" ht="22.5" customHeight="1">
      <c r="A35" s="2" t="s">
        <v>46</v>
      </c>
      <c r="B35" s="2">
        <v>2.0</v>
      </c>
      <c r="C35" s="3">
        <v>45598.0</v>
      </c>
      <c r="D35" s="2" t="s">
        <v>12</v>
      </c>
      <c r="E35" s="2" t="s">
        <v>7</v>
      </c>
    </row>
    <row r="36" ht="22.5" customHeight="1">
      <c r="A36" s="2" t="s">
        <v>47</v>
      </c>
      <c r="B36" s="2">
        <v>2.0</v>
      </c>
      <c r="C36" s="3">
        <v>45599.0</v>
      </c>
      <c r="D36" s="2" t="s">
        <v>6</v>
      </c>
      <c r="E36" s="2" t="s">
        <v>10</v>
      </c>
    </row>
    <row r="37" ht="22.5" customHeight="1">
      <c r="A37" s="2" t="s">
        <v>48</v>
      </c>
      <c r="B37" s="2">
        <v>2.0</v>
      </c>
      <c r="C37" s="3">
        <v>45600.0</v>
      </c>
      <c r="D37" s="2" t="s">
        <v>9</v>
      </c>
      <c r="E37" s="2" t="s">
        <v>7</v>
      </c>
    </row>
    <row r="38" ht="22.5" customHeight="1">
      <c r="A38" s="2" t="s">
        <v>49</v>
      </c>
      <c r="B38" s="2">
        <v>2.0</v>
      </c>
      <c r="C38" s="3">
        <v>45601.0</v>
      </c>
      <c r="D38" s="2" t="s">
        <v>19</v>
      </c>
      <c r="E38" s="2" t="s">
        <v>10</v>
      </c>
    </row>
    <row r="39" ht="22.5" customHeight="1">
      <c r="A39" s="2" t="s">
        <v>50</v>
      </c>
      <c r="B39" s="2">
        <v>2.0</v>
      </c>
      <c r="C39" s="3">
        <v>45602.0</v>
      </c>
      <c r="D39" s="2" t="s">
        <v>6</v>
      </c>
      <c r="E39" s="2" t="s">
        <v>10</v>
      </c>
    </row>
    <row r="40" ht="22.5" customHeight="1">
      <c r="A40" s="2" t="s">
        <v>51</v>
      </c>
      <c r="B40" s="2">
        <v>2.0</v>
      </c>
      <c r="C40" s="3">
        <v>45603.0</v>
      </c>
      <c r="D40" s="2" t="s">
        <v>12</v>
      </c>
      <c r="E40" s="2" t="s">
        <v>39</v>
      </c>
    </row>
    <row r="41" ht="22.5" customHeight="1">
      <c r="A41" s="2" t="s">
        <v>52</v>
      </c>
      <c r="B41" s="2">
        <v>2.0</v>
      </c>
      <c r="C41" s="3">
        <v>45604.0</v>
      </c>
      <c r="D41" s="2" t="s">
        <v>9</v>
      </c>
      <c r="E41" s="2" t="s">
        <v>10</v>
      </c>
    </row>
    <row r="42" ht="22.5" customHeight="1">
      <c r="A42" s="2" t="s">
        <v>53</v>
      </c>
      <c r="B42" s="2">
        <v>2.0</v>
      </c>
      <c r="C42" s="3">
        <v>45605.0</v>
      </c>
      <c r="D42" s="2" t="s">
        <v>6</v>
      </c>
      <c r="E42" s="2" t="s">
        <v>10</v>
      </c>
    </row>
    <row r="43" ht="22.5" customHeight="1">
      <c r="A43" s="2" t="s">
        <v>54</v>
      </c>
      <c r="B43" s="2">
        <v>2.0</v>
      </c>
      <c r="C43" s="3">
        <v>45606.0</v>
      </c>
      <c r="D43" s="2" t="s">
        <v>6</v>
      </c>
      <c r="E43" s="2" t="s">
        <v>7</v>
      </c>
    </row>
    <row r="44" ht="22.5" customHeight="1">
      <c r="A44" s="2" t="s">
        <v>55</v>
      </c>
      <c r="B44" s="2">
        <v>2.0</v>
      </c>
      <c r="C44" s="3">
        <v>45607.0</v>
      </c>
      <c r="D44" s="2" t="s">
        <v>16</v>
      </c>
      <c r="E44" s="2" t="s">
        <v>39</v>
      </c>
    </row>
    <row r="45" ht="22.5" customHeight="1">
      <c r="A45" s="2" t="s">
        <v>56</v>
      </c>
      <c r="B45" s="2">
        <v>2.0</v>
      </c>
      <c r="C45" s="3">
        <v>45608.0</v>
      </c>
      <c r="D45" s="2" t="s">
        <v>12</v>
      </c>
      <c r="E45" s="2" t="s">
        <v>7</v>
      </c>
    </row>
    <row r="46" ht="22.5" customHeight="1">
      <c r="A46" s="2" t="s">
        <v>57</v>
      </c>
      <c r="B46" s="2">
        <v>2.0</v>
      </c>
      <c r="C46" s="3">
        <v>45609.0</v>
      </c>
      <c r="D46" s="2" t="s">
        <v>19</v>
      </c>
      <c r="E46" s="2" t="s">
        <v>10</v>
      </c>
    </row>
    <row r="47" ht="22.5" customHeight="1">
      <c r="A47" s="2" t="s">
        <v>58</v>
      </c>
      <c r="B47" s="2">
        <v>2.0</v>
      </c>
      <c r="C47" s="3">
        <v>45610.0</v>
      </c>
      <c r="D47" s="2" t="s">
        <v>6</v>
      </c>
      <c r="E47" s="2" t="s">
        <v>10</v>
      </c>
    </row>
    <row r="48" ht="22.5" customHeight="1">
      <c r="A48" s="2" t="s">
        <v>59</v>
      </c>
      <c r="B48" s="2">
        <v>2.0</v>
      </c>
      <c r="C48" s="3">
        <v>45611.0</v>
      </c>
      <c r="D48" s="2" t="s">
        <v>16</v>
      </c>
      <c r="E48" s="2" t="s">
        <v>10</v>
      </c>
    </row>
    <row r="49" ht="22.5" customHeight="1">
      <c r="A49" s="2" t="s">
        <v>60</v>
      </c>
      <c r="B49" s="2">
        <v>2.0</v>
      </c>
      <c r="C49" s="3">
        <v>45612.0</v>
      </c>
      <c r="D49" s="2" t="s">
        <v>19</v>
      </c>
      <c r="E49" s="2" t="s">
        <v>10</v>
      </c>
    </row>
    <row r="50" ht="22.5" customHeight="1">
      <c r="A50" s="2" t="s">
        <v>61</v>
      </c>
      <c r="B50" s="2">
        <v>2.0</v>
      </c>
      <c r="C50" s="3">
        <v>45613.0</v>
      </c>
      <c r="D50" s="2" t="s">
        <v>12</v>
      </c>
      <c r="E50" s="4" t="s">
        <v>39</v>
      </c>
    </row>
    <row r="51" ht="22.5" customHeight="1">
      <c r="A51" s="2" t="s">
        <v>62</v>
      </c>
      <c r="B51" s="2">
        <v>2.0</v>
      </c>
      <c r="C51" s="3">
        <v>45614.0</v>
      </c>
      <c r="D51" s="2" t="s">
        <v>6</v>
      </c>
      <c r="E51" s="2" t="s">
        <v>7</v>
      </c>
    </row>
  </sheetData>
  <dataValidations>
    <dataValidation type="custom" allowBlank="1" showDropDown="1" sqref="C2:C51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3.88"/>
  </cols>
  <sheetData>
    <row r="1" ht="22.5" customHeight="1">
      <c r="A1" s="1" t="s">
        <v>3</v>
      </c>
      <c r="B1" s="1" t="s">
        <v>63</v>
      </c>
      <c r="C1" s="1" t="s">
        <v>64</v>
      </c>
    </row>
    <row r="2" ht="22.5" customHeight="1">
      <c r="A2" s="2" t="s">
        <v>6</v>
      </c>
      <c r="B2" s="5">
        <f>COUNTIF(Sheet1!D:D,"Order &amp; Delivery")</f>
        <v>20</v>
      </c>
      <c r="C2" s="5">
        <f t="shared" ref="C2:C6" si="1">B2/50*100</f>
        <v>40</v>
      </c>
    </row>
    <row r="3" ht="22.5" customHeight="1">
      <c r="A3" s="2" t="s">
        <v>9</v>
      </c>
      <c r="B3" s="5">
        <f>COUNTIF(Sheet1!D:D,"Payment &amp; Refund")</f>
        <v>9</v>
      </c>
      <c r="C3" s="5">
        <f t="shared" si="1"/>
        <v>18</v>
      </c>
    </row>
    <row r="4" ht="22.5" customHeight="1">
      <c r="A4" s="2" t="s">
        <v>12</v>
      </c>
      <c r="B4" s="5">
        <f>COUNTIF(Sheet1!D:D,"App Performance")</f>
        <v>8</v>
      </c>
      <c r="C4" s="5">
        <f t="shared" si="1"/>
        <v>16</v>
      </c>
    </row>
    <row r="5" ht="22.5" customHeight="1">
      <c r="A5" s="2" t="s">
        <v>19</v>
      </c>
      <c r="B5" s="5">
        <f>COUNTIF(Sheet1!D:D,"Poor Support")</f>
        <v>7</v>
      </c>
      <c r="C5" s="5">
        <f t="shared" si="1"/>
        <v>14</v>
      </c>
    </row>
    <row r="6" ht="22.5" customHeight="1">
      <c r="A6" s="2" t="s">
        <v>16</v>
      </c>
      <c r="B6" s="5">
        <f>COUNTIF(Sheet1!D:D,"Wrong / Missing Items")</f>
        <v>6</v>
      </c>
      <c r="C6" s="5">
        <f t="shared" si="1"/>
        <v>12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4" max="4" width="13.88"/>
    <col customWidth="1" min="6" max="6" width="13.63"/>
  </cols>
  <sheetData>
    <row r="1" ht="22.5" customHeight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ht="22.5" customHeight="1">
      <c r="A2" s="2" t="s">
        <v>6</v>
      </c>
      <c r="B2" s="2">
        <v>9.0</v>
      </c>
      <c r="C2" s="2">
        <v>9.0</v>
      </c>
      <c r="D2" s="2">
        <v>9.0</v>
      </c>
      <c r="E2" s="2">
        <v>5.0</v>
      </c>
      <c r="F2" s="5">
        <f t="shared" ref="F2:F4" si="1">(B2*C2*D2)/E2</f>
        <v>145.8</v>
      </c>
    </row>
    <row r="3" ht="22.5" customHeight="1">
      <c r="A3" s="2" t="s">
        <v>9</v>
      </c>
      <c r="B3" s="2">
        <v>8.0</v>
      </c>
      <c r="C3" s="2">
        <v>10.0</v>
      </c>
      <c r="D3" s="2">
        <v>9.0</v>
      </c>
      <c r="E3" s="2">
        <v>4.0</v>
      </c>
      <c r="F3" s="5">
        <f t="shared" si="1"/>
        <v>180</v>
      </c>
    </row>
    <row r="4" ht="22.5" customHeight="1">
      <c r="A4" s="2" t="s">
        <v>19</v>
      </c>
      <c r="B4" s="2">
        <v>7.0</v>
      </c>
      <c r="C4" s="2">
        <v>8.0</v>
      </c>
      <c r="D4" s="2">
        <v>8.0</v>
      </c>
      <c r="E4" s="2">
        <v>6.0</v>
      </c>
      <c r="F4" s="5">
        <f t="shared" si="1"/>
        <v>74.66666667</v>
      </c>
    </row>
  </sheetData>
  <drawing r:id="rId1"/>
  <tableParts count="1">
    <tablePart r:id="rId3"/>
  </tableParts>
</worksheet>
</file>